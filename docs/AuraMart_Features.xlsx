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by Phase" sheetId="1" state="visible" r:id="rId3"/>
    <sheet name="User Features" sheetId="2" state="visible" r:id="rId4"/>
    <sheet name="Engineering Features" sheetId="3" state="visible" r:id="rId5"/>
    <sheet name="Interview Story" sheetId="4" state="visible" r:id="rId6"/>
  </sheets>
  <definedNames>
    <definedName function="false" hidden="true" localSheetId="2" name="_xlnm._FilterDatabase" vbProcedure="false">'Engineering Features'!$A$3:$D$20</definedName>
    <definedName function="false" hidden="true" localSheetId="3" name="_xlnm._FilterDatabase" vbProcedure="false">'Interview Story'!$A$3:$D$10</definedName>
    <definedName function="false" hidden="true" localSheetId="1" name="_xlnm._FilterDatabase" vbProcedure="false">'User Features'!$A$3:$E$20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<sst xmlns="http://schemas.openxmlformats.org/spreadsheetml/2006/main" count="170" uniqueCount="125">
  <si>
    <t xml:space="preserve">AuraMart: features by phase</t>
  </si>
  <si>
    <t xml:space="preserve">Counts update automatically from the other sheets.</t>
  </si>
  <si>
    <t xml:space="preserve">Phase</t>
  </si>
  <si>
    <t xml:space="preserve">Name</t>
  </si>
  <si>
    <t xml:space="preserve">User features</t>
  </si>
  <si>
    <t xml:space="preserve">Engineering features</t>
  </si>
  <si>
    <t xml:space="preserve">Total</t>
  </si>
  <si>
    <t xml:space="preserve">Foundation</t>
  </si>
  <si>
    <t xml:space="preserve">Edge &amp; speed</t>
  </si>
  <si>
    <t xml:space="preserve">Event-driven checkout</t>
  </si>
  <si>
    <t xml:space="preserve">AI assistant</t>
  </si>
  <si>
    <t xml:space="preserve">Frontend</t>
  </si>
  <si>
    <t xml:space="preserve">Production polish</t>
  </si>
  <si>
    <t xml:space="preserve">AuraMart: what users see</t>
  </si>
  <si>
    <t xml:space="preserve">Area</t>
  </si>
  <si>
    <t xml:space="preserve">Feature</t>
  </si>
  <si>
    <t xml:space="preserve">Description / example</t>
  </si>
  <si>
    <t xml:space="preserve">Service</t>
  </si>
  <si>
    <t xml:space="preserve">Shopping</t>
  </si>
  <si>
    <t xml:space="preserve">Browse products</t>
  </si>
  <si>
    <t xml:space="preserve">Browse by category with paging and sorting by name or price</t>
  </si>
  <si>
    <t xml:space="preserve">Catalog</t>
  </si>
  <si>
    <t xml:space="preserve">Keyword search</t>
  </si>
  <si>
    <t xml:space="preserve">Typo-tolerant search: "hedphones" still finds headphones</t>
  </si>
  <si>
    <t xml:space="preserve">Semantic search</t>
  </si>
  <si>
    <t xml:space="preserve">Understands meaning: "something to keep tea hot on a train" finds the steel flask</t>
  </si>
  <si>
    <t xml:space="preserve">Catalog (pgvector)</t>
  </si>
  <si>
    <t xml:space="preserve">Stock status</t>
  </si>
  <si>
    <t xml:space="preserve">Product pages show price and in-stock / out-of-stock</t>
  </si>
  <si>
    <t xml:space="preserve">Cart &amp; checkout</t>
  </si>
  <si>
    <t xml:space="preserve">Cart and ordering</t>
  </si>
  <si>
    <t xml:space="preserve">Add to cart, change quantities, place an order</t>
  </si>
  <si>
    <t xml:space="preserve">Order</t>
  </si>
  <si>
    <t xml:space="preserve">Checkout flow</t>
  </si>
  <si>
    <t xml:space="preserve">Reserves stock, runs a simulated payment, then confirms the order</t>
  </si>
  <si>
    <t xml:space="preserve">Order, Catalog</t>
  </si>
  <si>
    <t xml:space="preserve">Clean cancellation</t>
  </si>
  <si>
    <t xml:space="preserve">If payment fails or stock runs out, the order is cancelled and reserved stock is returned</t>
  </si>
  <si>
    <t xml:space="preserve">Order tracking</t>
  </si>
  <si>
    <t xml:space="preserve">Order history and status: Pending, Confirmed, Cancelled</t>
  </si>
  <si>
    <t xml:space="preserve">Natural-language shopping</t>
  </si>
  <si>
    <t xml:space="preserve">"Suggest earbuds under ₹5,000 for the gym"</t>
  </si>
  <si>
    <t xml:space="preserve">Grounded answers (RAG)</t>
  </si>
  <si>
    <t xml:space="preserve">Answers only from the real catalogue, so it doesn't invent products</t>
  </si>
  <si>
    <t xml:space="preserve">AI assistant, Catalog</t>
  </si>
  <si>
    <t xml:space="preserve">Order lookup (tool calling)</t>
  </si>
  <si>
    <t xml:space="preserve">"Where is my order?" triggers a tool call to the Order service</t>
  </si>
  <si>
    <t xml:space="preserve">AI assistant, Order</t>
  </si>
  <si>
    <t xml:space="preserve">Conversation memory</t>
  </si>
  <si>
    <t xml:space="preserve">Remembers earlier messages, so "show me a cheaper one" makes sense</t>
  </si>
  <si>
    <t xml:space="preserve">Streaming replies</t>
  </si>
  <si>
    <t xml:space="preserve">Replies appear word by word in the chat panel</t>
  </si>
  <si>
    <t xml:space="preserve">AI assistant, Frontend</t>
  </si>
  <si>
    <t xml:space="preserve">Notifications</t>
  </si>
  <si>
    <t xml:space="preserve">Order notifications</t>
  </si>
  <si>
    <t xml:space="preserve">Confirmation and cancellation messages, logged or emailed</t>
  </si>
  <si>
    <t xml:space="preserve">Notification</t>
  </si>
  <si>
    <t xml:space="preserve">Admin</t>
  </si>
  <si>
    <t xml:space="preserve">Product management</t>
  </si>
  <si>
    <t xml:space="preserve">Create, update and deactivate products via API or Swagger UI</t>
  </si>
  <si>
    <t xml:space="preserve">Kafka monitoring</t>
  </si>
  <si>
    <t xml:space="preserve">See topics, messages and failed (DLT) events in Kafka UI</t>
  </si>
  <si>
    <t xml:space="preserve">Infrastructure</t>
  </si>
  <si>
    <t xml:space="preserve">Health and tracing dashboards</t>
  </si>
  <si>
    <t xml:space="preserve">Service health, request rates and traces in Grafana</t>
  </si>
  <si>
    <t xml:space="preserve">All services</t>
  </si>
  <si>
    <t xml:space="preserve">AuraMart: engineering features (CV and interviews)</t>
  </si>
  <si>
    <t xml:space="preserve">What it shows you can do</t>
  </si>
  <si>
    <t xml:space="preserve">Service(s)</t>
  </si>
  <si>
    <t xml:space="preserve">Microservices, one database each</t>
  </si>
  <si>
    <t xml:space="preserve">Split a system by business area</t>
  </si>
  <si>
    <t xml:space="preserve">API Gateway as single entry point</t>
  </si>
  <si>
    <t xml:space="preserve">Routing, CORS, security at the edge</t>
  </si>
  <si>
    <t xml:space="preserve">API Gateway</t>
  </si>
  <si>
    <t xml:space="preserve">Kafka events with orderId as partition key</t>
  </si>
  <si>
    <t xml:space="preserve">Keep events in order, process in parallel</t>
  </si>
  <si>
    <t xml:space="preserve">Order, Kafka</t>
  </si>
  <si>
    <t xml:space="preserve">Saga with compensation</t>
  </si>
  <si>
    <t xml:space="preserve">Distributed transactions without 2-phase commit</t>
  </si>
  <si>
    <t xml:space="preserve">Transactional outbox</t>
  </si>
  <si>
    <t xml:space="preserve">Never lose an event when the database commits</t>
  </si>
  <si>
    <t xml:space="preserve">Retries with backoff + Dead Letter Topic</t>
  </si>
  <si>
    <t xml:space="preserve">Handle failures without blocking the queue</t>
  </si>
  <si>
    <t xml:space="preserve">Idempotent consumers</t>
  </si>
  <si>
    <t xml:space="preserve">Safely handle duplicate messages</t>
  </si>
  <si>
    <t xml:space="preserve">Notification, Catalog</t>
  </si>
  <si>
    <t xml:space="preserve">Optimistic locking on stock</t>
  </si>
  <si>
    <t xml:space="preserve">Prevent overselling under concurrent orders</t>
  </si>
  <si>
    <t xml:space="preserve">Redis cache with eviction</t>
  </si>
  <si>
    <t xml:space="preserve">Faster reads, correct invalidation</t>
  </si>
  <si>
    <t xml:space="preserve">RAG with pgvector</t>
  </si>
  <si>
    <t xml:space="preserve">AI grounded in your own data</t>
  </si>
  <si>
    <t xml:space="preserve">LLM tool calling</t>
  </si>
  <si>
    <t xml:space="preserve">AI that takes real actions through APIs</t>
  </si>
  <si>
    <t xml:space="preserve">Standard error responses (RFC 9457)</t>
  </si>
  <si>
    <t xml:space="preserve">Clean, consistent API design</t>
  </si>
  <si>
    <t xml:space="preserve">Flyway migrations</t>
  </si>
  <si>
    <t xml:space="preserve">Safe, versioned schema changes</t>
  </si>
  <si>
    <t xml:space="preserve">Testcontainers integration tests</t>
  </si>
  <si>
    <t xml:space="preserve">Testing against real infrastructure</t>
  </si>
  <si>
    <t xml:space="preserve">Distributed tracing with OpenTelemetry</t>
  </si>
  <si>
    <t xml:space="preserve">Follow one request across services</t>
  </si>
  <si>
    <t xml:space="preserve">Kubernetes deployment with autoscaling</t>
  </si>
  <si>
    <t xml:space="preserve">Run and scale it like production</t>
  </si>
  <si>
    <t xml:space="preserve">Architecture Decision Records</t>
  </si>
  <si>
    <t xml:space="preserve">Explain trade-offs the way senior engineers do</t>
  </si>
  <si>
    <t xml:space="preserve">docs/adr</t>
  </si>
  <si>
    <t xml:space="preserve">AuraMart: one scenario that shows every major skill</t>
  </si>
  <si>
    <t xml:space="preserve">Step</t>
  </si>
  <si>
    <t xml:space="preserve">What happens</t>
  </si>
  <si>
    <t xml:space="preserve">Skill shown</t>
  </si>
  <si>
    <t xml:space="preserve">User asks the AI assistant for a laptop bag</t>
  </si>
  <si>
    <t xml:space="preserve">Natural-language chat</t>
  </si>
  <si>
    <t xml:space="preserve">Assistant finds one through semantic search</t>
  </si>
  <si>
    <t xml:space="preserve">RAG, pgvector, tool calling</t>
  </si>
  <si>
    <t xml:space="preserve">User orders it; the order event goes through Kafka</t>
  </si>
  <si>
    <t xml:space="preserve">Outbox, partition keys</t>
  </si>
  <si>
    <t xml:space="preserve">Stock is reserved with optimistic locking</t>
  </si>
  <si>
    <t xml:space="preserve">Optimistic locking, saga</t>
  </si>
  <si>
    <t xml:space="preserve">Payment fails, so the saga cancels the order and returns the stock</t>
  </si>
  <si>
    <t xml:space="preserve">Compensation</t>
  </si>
  <si>
    <t xml:space="preserve">Notification consumer fails twice, retries, and the message ends up in the DLT</t>
  </si>
  <si>
    <t xml:space="preserve">Retries, backoff, DLT</t>
  </si>
  <si>
    <t xml:space="preserve">Show the whole path in one trace</t>
  </si>
  <si>
    <t xml:space="preserve">OpenTelemetry tracing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</si>
</sst>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EE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E"/>
      </left>
      <right style="thin">
        <color rgb="FFC9D2DE"/>
      </right>
      <top style="thin">
        <color rgb="FFC9D2DE"/>
      </top>
      <bottom style="thin">
        <color rgb="FFC9D2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6"/>
      <rgbColor rgb="FF660066"/>
      <rgbColor rgb="FFFF8080"/>
      <rgbColor rgb="FF0066CC"/>
      <rgbColor rgb="FFC9D2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1</v>
      </c>
      <c r="B5" s="5" t="s">
        <v>7</v>
      </c>
      <c r="C5" s="4" t="n">
        <f aca="false">COUNTIF('User Features'!$E$4:$E$100,A5)</f>
        <v>3</v>
      </c>
      <c r="D5" s="4" t="n">
        <f aca="false">COUNTIF('Engineering Features'!$D$4:$D$100,A5)</f>
        <v>5</v>
      </c>
      <c r="E5" s="4" t="n">
        <f aca="false">C5+D5</f>
        <v>8</v>
      </c>
    </row>
    <row r="6" customFormat="false" ht="15" hidden="false" customHeight="false" outlineLevel="0" collapsed="false">
      <c r="A6" s="4" t="n">
        <v>2</v>
      </c>
      <c r="B6" s="5" t="s">
        <v>8</v>
      </c>
      <c r="C6" s="4" t="n">
        <f aca="false">COUNTIF('User Features'!$E$4:$E$100,A6)</f>
        <v>1</v>
      </c>
      <c r="D6" s="4" t="n">
        <f aca="false">COUNTIF('Engineering Features'!$D$4:$D$100,A6)</f>
        <v>3</v>
      </c>
      <c r="E6" s="4" t="n">
        <f aca="false">C6+D6</f>
        <v>4</v>
      </c>
    </row>
    <row r="7" customFormat="false" ht="15" hidden="false" customHeight="false" outlineLevel="0" collapsed="false">
      <c r="A7" s="4" t="n">
        <v>3</v>
      </c>
      <c r="B7" s="5" t="s">
        <v>9</v>
      </c>
      <c r="C7" s="4" t="n">
        <f aca="false">COUNTIF('User Features'!$E$4:$E$100,A7)</f>
        <v>6</v>
      </c>
      <c r="D7" s="4" t="n">
        <f aca="false">COUNTIF('Engineering Features'!$D$4:$D$100,A7)</f>
        <v>5</v>
      </c>
      <c r="E7" s="4" t="n">
        <f aca="false">C7+D7</f>
        <v>11</v>
      </c>
    </row>
    <row r="8" customFormat="false" ht="15" hidden="false" customHeight="false" outlineLevel="0" collapsed="false">
      <c r="A8" s="4" t="n">
        <v>4</v>
      </c>
      <c r="B8" s="5" t="s">
        <v>10</v>
      </c>
      <c r="C8" s="4" t="n">
        <f aca="false">COUNTIF('User Features'!$E$4:$E$100,A8)</f>
        <v>5</v>
      </c>
      <c r="D8" s="4" t="n">
        <f aca="false">COUNTIF('Engineering Features'!$D$4:$D$100,A8)</f>
        <v>2</v>
      </c>
      <c r="E8" s="4" t="n">
        <f aca="false">C8+D8</f>
        <v>7</v>
      </c>
    </row>
    <row r="9" customFormat="false" ht="15" hidden="false" customHeight="false" outlineLevel="0" collapsed="false">
      <c r="A9" s="4" t="n">
        <v>5</v>
      </c>
      <c r="B9" s="5" t="s">
        <v>11</v>
      </c>
      <c r="C9" s="4" t="n">
        <f aca="false">COUNTIF('User Features'!$E$4:$E$100,A9)</f>
        <v>1</v>
      </c>
      <c r="D9" s="4" t="n">
        <f aca="false">COUNTIF('Engineering Features'!$D$4:$D$100,A9)</f>
        <v>0</v>
      </c>
      <c r="E9" s="4" t="n">
        <f aca="false">C9+D9</f>
        <v>1</v>
      </c>
    </row>
    <row r="10" customFormat="false" ht="15" hidden="false" customHeight="false" outlineLevel="0" collapsed="false">
      <c r="A10" s="4" t="n">
        <v>6</v>
      </c>
      <c r="B10" s="5" t="s">
        <v>12</v>
      </c>
      <c r="C10" s="4" t="n">
        <f aca="false">COUNTIF('User Features'!$E$4:$E$100,A10)</f>
        <v>1</v>
      </c>
      <c r="D10" s="4" t="n">
        <f aca="false">COUNTIF('Engineering Features'!$D$4:$D$100,A10)</f>
        <v>2</v>
      </c>
      <c r="E10" s="4" t="n">
        <f aca="false">C10+D10</f>
        <v>3</v>
      </c>
    </row>
    <row r="11" customFormat="false" ht="15" hidden="false" customHeight="false" outlineLevel="0" collapsed="false">
      <c r="A11" s="6" t="s">
        <v>6</v>
      </c>
      <c r="B11" s="6"/>
      <c r="C11" s="7" t="n">
        <f aca="false">SUM(C5:C10)</f>
        <v>17</v>
      </c>
      <c r="D11" s="7" t="n">
        <f aca="false">SUM(D5:D10)</f>
        <v>17</v>
      </c>
      <c r="E11" s="7" t="n">
        <f aca="false">SUM(E5:E10)</f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62"/>
    <col collapsed="false" customWidth="true" hidden="false" outlineLevel="0" max="4" min="4" style="0" width="24"/>
    <col collapsed="false" customWidth="true" hidden="false" outlineLevel="0" max="5" min="5" style="0" width="9"/>
  </cols>
  <sheetData>
    <row r="1" customFormat="false" ht="17.35" hidden="false" customHeight="false" outlineLevel="0" collapsed="false">
      <c r="A1" s="1" t="s">
        <v>13</v>
      </c>
    </row>
    <row r="3" customFormat="false" ht="15" hidden="false" customHeight="false" outlineLevel="0" collapsed="false">
      <c r="A3" s="8" t="s">
        <v>14</v>
      </c>
      <c r="B3" s="8" t="s">
        <v>15</v>
      </c>
      <c r="C3" s="8" t="s">
        <v>16</v>
      </c>
      <c r="D3" s="8" t="s">
        <v>17</v>
      </c>
      <c r="E3" s="8" t="s">
        <v>2</v>
      </c>
    </row>
    <row r="4" customFormat="false" ht="15" hidden="false" customHeight="false" outlineLevel="0" collapsed="false">
      <c r="A4" s="9" t="s">
        <v>18</v>
      </c>
      <c r="B4" s="9" t="s">
        <v>19</v>
      </c>
      <c r="C4" s="9" t="s">
        <v>20</v>
      </c>
      <c r="D4" s="9" t="s">
        <v>21</v>
      </c>
      <c r="E4" s="10" t="n">
        <v>1</v>
      </c>
    </row>
    <row r="5" customFormat="false" ht="15" hidden="false" customHeight="false" outlineLevel="0" collapsed="false">
      <c r="A5" s="9" t="s">
        <v>18</v>
      </c>
      <c r="B5" s="9" t="s">
        <v>22</v>
      </c>
      <c r="C5" s="9" t="s">
        <v>23</v>
      </c>
      <c r="D5" s="9" t="s">
        <v>21</v>
      </c>
      <c r="E5" s="10" t="n">
        <v>2</v>
      </c>
    </row>
    <row r="6" customFormat="false" ht="23.85" hidden="false" customHeight="false" outlineLevel="0" collapsed="false">
      <c r="A6" s="9" t="s">
        <v>18</v>
      </c>
      <c r="B6" s="9" t="s">
        <v>24</v>
      </c>
      <c r="C6" s="9" t="s">
        <v>25</v>
      </c>
      <c r="D6" s="9" t="s">
        <v>26</v>
      </c>
      <c r="E6" s="10" t="n">
        <v>4</v>
      </c>
    </row>
    <row r="7" customFormat="false" ht="15" hidden="false" customHeight="false" outlineLevel="0" collapsed="false">
      <c r="A7" s="9" t="s">
        <v>18</v>
      </c>
      <c r="B7" s="9" t="s">
        <v>27</v>
      </c>
      <c r="C7" s="9" t="s">
        <v>28</v>
      </c>
      <c r="D7" s="9" t="s">
        <v>21</v>
      </c>
      <c r="E7" s="10" t="n">
        <v>1</v>
      </c>
    </row>
    <row r="8" customFormat="false" ht="15" hidden="false" customHeight="false" outlineLevel="0" collapsed="false">
      <c r="A8" s="9" t="s">
        <v>29</v>
      </c>
      <c r="B8" s="9" t="s">
        <v>30</v>
      </c>
      <c r="C8" s="9" t="s">
        <v>31</v>
      </c>
      <c r="D8" s="9" t="s">
        <v>32</v>
      </c>
      <c r="E8" s="10" t="n">
        <v>3</v>
      </c>
    </row>
    <row r="9" customFormat="false" ht="15" hidden="false" customHeight="false" outlineLevel="0" collapsed="false">
      <c r="A9" s="9" t="s">
        <v>29</v>
      </c>
      <c r="B9" s="9" t="s">
        <v>33</v>
      </c>
      <c r="C9" s="9" t="s">
        <v>34</v>
      </c>
      <c r="D9" s="9" t="s">
        <v>35</v>
      </c>
      <c r="E9" s="10" t="n">
        <v>3</v>
      </c>
    </row>
    <row r="10" customFormat="false" ht="23.85" hidden="false" customHeight="false" outlineLevel="0" collapsed="false">
      <c r="A10" s="9" t="s">
        <v>29</v>
      </c>
      <c r="B10" s="9" t="s">
        <v>36</v>
      </c>
      <c r="C10" s="9" t="s">
        <v>37</v>
      </c>
      <c r="D10" s="9" t="s">
        <v>35</v>
      </c>
      <c r="E10" s="10" t="n">
        <v>3</v>
      </c>
    </row>
    <row r="11" customFormat="false" ht="15" hidden="false" customHeight="false" outlineLevel="0" collapsed="false">
      <c r="A11" s="9" t="s">
        <v>29</v>
      </c>
      <c r="B11" s="9" t="s">
        <v>38</v>
      </c>
      <c r="C11" s="9" t="s">
        <v>39</v>
      </c>
      <c r="D11" s="9" t="s">
        <v>32</v>
      </c>
      <c r="E11" s="10" t="n">
        <v>3</v>
      </c>
    </row>
    <row r="12" customFormat="false" ht="15" hidden="false" customHeight="false" outlineLevel="0" collapsed="false">
      <c r="A12" s="9" t="s">
        <v>10</v>
      </c>
      <c r="B12" s="9" t="s">
        <v>40</v>
      </c>
      <c r="C12" s="9" t="s">
        <v>41</v>
      </c>
      <c r="D12" s="9" t="s">
        <v>10</v>
      </c>
      <c r="E12" s="10" t="n">
        <v>4</v>
      </c>
    </row>
    <row r="13" customFormat="false" ht="15" hidden="false" customHeight="false" outlineLevel="0" collapsed="false">
      <c r="A13" s="9" t="s">
        <v>10</v>
      </c>
      <c r="B13" s="9" t="s">
        <v>42</v>
      </c>
      <c r="C13" s="9" t="s">
        <v>43</v>
      </c>
      <c r="D13" s="9" t="s">
        <v>44</v>
      </c>
      <c r="E13" s="10" t="n">
        <v>4</v>
      </c>
    </row>
    <row r="14" customFormat="false" ht="15" hidden="false" customHeight="false" outlineLevel="0" collapsed="false">
      <c r="A14" s="9" t="s">
        <v>10</v>
      </c>
      <c r="B14" s="9" t="s">
        <v>45</v>
      </c>
      <c r="C14" s="9" t="s">
        <v>46</v>
      </c>
      <c r="D14" s="9" t="s">
        <v>47</v>
      </c>
      <c r="E14" s="10" t="n">
        <v>4</v>
      </c>
    </row>
    <row r="15" customFormat="false" ht="15" hidden="false" customHeight="false" outlineLevel="0" collapsed="false">
      <c r="A15" s="9" t="s">
        <v>10</v>
      </c>
      <c r="B15" s="9" t="s">
        <v>48</v>
      </c>
      <c r="C15" s="9" t="s">
        <v>49</v>
      </c>
      <c r="D15" s="9" t="s">
        <v>10</v>
      </c>
      <c r="E15" s="10" t="n">
        <v>4</v>
      </c>
    </row>
    <row r="16" customFormat="false" ht="15" hidden="false" customHeight="false" outlineLevel="0" collapsed="false">
      <c r="A16" s="9" t="s">
        <v>10</v>
      </c>
      <c r="B16" s="9" t="s">
        <v>50</v>
      </c>
      <c r="C16" s="9" t="s">
        <v>51</v>
      </c>
      <c r="D16" s="9" t="s">
        <v>52</v>
      </c>
      <c r="E16" s="10" t="n">
        <v>5</v>
      </c>
    </row>
    <row r="17" customFormat="false" ht="15" hidden="false" customHeight="false" outlineLevel="0" collapsed="false">
      <c r="A17" s="9" t="s">
        <v>53</v>
      </c>
      <c r="B17" s="9" t="s">
        <v>54</v>
      </c>
      <c r="C17" s="9" t="s">
        <v>55</v>
      </c>
      <c r="D17" s="9" t="s">
        <v>56</v>
      </c>
      <c r="E17" s="10" t="n">
        <v>3</v>
      </c>
    </row>
    <row r="18" customFormat="false" ht="15" hidden="false" customHeight="false" outlineLevel="0" collapsed="false">
      <c r="A18" s="9" t="s">
        <v>57</v>
      </c>
      <c r="B18" s="9" t="s">
        <v>58</v>
      </c>
      <c r="C18" s="9" t="s">
        <v>59</v>
      </c>
      <c r="D18" s="9" t="s">
        <v>21</v>
      </c>
      <c r="E18" s="10" t="n">
        <v>1</v>
      </c>
    </row>
    <row r="19" customFormat="false" ht="15" hidden="false" customHeight="false" outlineLevel="0" collapsed="false">
      <c r="A19" s="9" t="s">
        <v>57</v>
      </c>
      <c r="B19" s="9" t="s">
        <v>60</v>
      </c>
      <c r="C19" s="9" t="s">
        <v>61</v>
      </c>
      <c r="D19" s="9" t="s">
        <v>62</v>
      </c>
      <c r="E19" s="10" t="n">
        <v>3</v>
      </c>
    </row>
    <row r="20" customFormat="false" ht="15" hidden="false" customHeight="false" outlineLevel="0" collapsed="false">
      <c r="A20" s="9" t="s">
        <v>57</v>
      </c>
      <c r="B20" s="9" t="s">
        <v>63</v>
      </c>
      <c r="C20" s="9" t="s">
        <v>64</v>
      </c>
      <c r="D20" s="9" t="s">
        <v>65</v>
      </c>
      <c r="E20" s="10" t="n">
        <v>6</v>
      </c>
    </row>
  </sheetData>
  <autoFilter ref="A3:E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8"/>
    <col collapsed="false" customWidth="true" hidden="false" outlineLevel="0" max="3" min="3" style="0" width="24"/>
    <col collapsed="false" customWidth="true" hidden="false" outlineLevel="0" max="4" min="4" style="0" width="9"/>
  </cols>
  <sheetData>
    <row r="1" customFormat="false" ht="17.35" hidden="false" customHeight="false" outlineLevel="0" collapsed="false">
      <c r="A1" s="1" t="s">
        <v>66</v>
      </c>
    </row>
    <row r="3" customFormat="false" ht="15" hidden="false" customHeight="false" outlineLevel="0" collapsed="false">
      <c r="A3" s="8" t="s">
        <v>15</v>
      </c>
      <c r="B3" s="8" t="s">
        <v>67</v>
      </c>
      <c r="C3" s="8" t="s">
        <v>68</v>
      </c>
      <c r="D3" s="8" t="s">
        <v>2</v>
      </c>
    </row>
    <row r="4" customFormat="false" ht="15" hidden="false" customHeight="false" outlineLevel="0" collapsed="false">
      <c r="A4" s="9" t="s">
        <v>69</v>
      </c>
      <c r="B4" s="9" t="s">
        <v>70</v>
      </c>
      <c r="C4" s="9" t="s">
        <v>65</v>
      </c>
      <c r="D4" s="10" t="n">
        <v>1</v>
      </c>
    </row>
    <row r="5" customFormat="false" ht="15" hidden="false" customHeight="false" outlineLevel="0" collapsed="false">
      <c r="A5" s="9" t="s">
        <v>71</v>
      </c>
      <c r="B5" s="9" t="s">
        <v>72</v>
      </c>
      <c r="C5" s="9" t="s">
        <v>73</v>
      </c>
      <c r="D5" s="10" t="n">
        <v>2</v>
      </c>
    </row>
    <row r="6" customFormat="false" ht="15" hidden="false" customHeight="false" outlineLevel="0" collapsed="false">
      <c r="A6" s="9" t="s">
        <v>74</v>
      </c>
      <c r="B6" s="9" t="s">
        <v>75</v>
      </c>
      <c r="C6" s="9" t="s">
        <v>76</v>
      </c>
      <c r="D6" s="10" t="n">
        <v>3</v>
      </c>
    </row>
    <row r="7" customFormat="false" ht="15" hidden="false" customHeight="false" outlineLevel="0" collapsed="false">
      <c r="A7" s="9" t="s">
        <v>77</v>
      </c>
      <c r="B7" s="9" t="s">
        <v>78</v>
      </c>
      <c r="C7" s="9" t="s">
        <v>35</v>
      </c>
      <c r="D7" s="10" t="n">
        <v>3</v>
      </c>
    </row>
    <row r="8" customFormat="false" ht="15" hidden="false" customHeight="false" outlineLevel="0" collapsed="false">
      <c r="A8" s="9" t="s">
        <v>79</v>
      </c>
      <c r="B8" s="9" t="s">
        <v>80</v>
      </c>
      <c r="C8" s="9" t="s">
        <v>32</v>
      </c>
      <c r="D8" s="10" t="n">
        <v>3</v>
      </c>
    </row>
    <row r="9" customFormat="false" ht="15" hidden="false" customHeight="false" outlineLevel="0" collapsed="false">
      <c r="A9" s="9" t="s">
        <v>81</v>
      </c>
      <c r="B9" s="9" t="s">
        <v>82</v>
      </c>
      <c r="C9" s="9" t="s">
        <v>56</v>
      </c>
      <c r="D9" s="10" t="n">
        <v>3</v>
      </c>
    </row>
    <row r="10" customFormat="false" ht="15" hidden="false" customHeight="false" outlineLevel="0" collapsed="false">
      <c r="A10" s="9" t="s">
        <v>83</v>
      </c>
      <c r="B10" s="9" t="s">
        <v>84</v>
      </c>
      <c r="C10" s="9" t="s">
        <v>85</v>
      </c>
      <c r="D10" s="10" t="n">
        <v>3</v>
      </c>
    </row>
    <row r="11" customFormat="false" ht="15" hidden="false" customHeight="false" outlineLevel="0" collapsed="false">
      <c r="A11" s="9" t="s">
        <v>86</v>
      </c>
      <c r="B11" s="9" t="s">
        <v>87</v>
      </c>
      <c r="C11" s="9" t="s">
        <v>21</v>
      </c>
      <c r="D11" s="10" t="n">
        <v>1</v>
      </c>
    </row>
    <row r="12" customFormat="false" ht="15" hidden="false" customHeight="false" outlineLevel="0" collapsed="false">
      <c r="A12" s="9" t="s">
        <v>88</v>
      </c>
      <c r="B12" s="9" t="s">
        <v>89</v>
      </c>
      <c r="C12" s="9" t="s">
        <v>21</v>
      </c>
      <c r="D12" s="10" t="n">
        <v>2</v>
      </c>
    </row>
    <row r="13" customFormat="false" ht="15" hidden="false" customHeight="false" outlineLevel="0" collapsed="false">
      <c r="A13" s="9" t="s">
        <v>90</v>
      </c>
      <c r="B13" s="9" t="s">
        <v>91</v>
      </c>
      <c r="C13" s="9" t="s">
        <v>44</v>
      </c>
      <c r="D13" s="10" t="n">
        <v>4</v>
      </c>
    </row>
    <row r="14" customFormat="false" ht="15" hidden="false" customHeight="false" outlineLevel="0" collapsed="false">
      <c r="A14" s="9" t="s">
        <v>92</v>
      </c>
      <c r="B14" s="9" t="s">
        <v>93</v>
      </c>
      <c r="C14" s="9" t="s">
        <v>10</v>
      </c>
      <c r="D14" s="10" t="n">
        <v>4</v>
      </c>
    </row>
    <row r="15" customFormat="false" ht="15" hidden="false" customHeight="false" outlineLevel="0" collapsed="false">
      <c r="A15" s="9" t="s">
        <v>94</v>
      </c>
      <c r="B15" s="9" t="s">
        <v>95</v>
      </c>
      <c r="C15" s="9" t="s">
        <v>65</v>
      </c>
      <c r="D15" s="10" t="n">
        <v>1</v>
      </c>
    </row>
    <row r="16" customFormat="false" ht="15" hidden="false" customHeight="false" outlineLevel="0" collapsed="false">
      <c r="A16" s="9" t="s">
        <v>96</v>
      </c>
      <c r="B16" s="9" t="s">
        <v>97</v>
      </c>
      <c r="C16" s="9" t="s">
        <v>65</v>
      </c>
      <c r="D16" s="10" t="n">
        <v>1</v>
      </c>
    </row>
    <row r="17" customFormat="false" ht="15" hidden="false" customHeight="false" outlineLevel="0" collapsed="false">
      <c r="A17" s="9" t="s">
        <v>98</v>
      </c>
      <c r="B17" s="9" t="s">
        <v>99</v>
      </c>
      <c r="C17" s="9" t="s">
        <v>65</v>
      </c>
      <c r="D17" s="10" t="n">
        <v>2</v>
      </c>
    </row>
    <row r="18" customFormat="false" ht="15" hidden="false" customHeight="false" outlineLevel="0" collapsed="false">
      <c r="A18" s="9" t="s">
        <v>100</v>
      </c>
      <c r="B18" s="9" t="s">
        <v>101</v>
      </c>
      <c r="C18" s="9" t="s">
        <v>65</v>
      </c>
      <c r="D18" s="10" t="n">
        <v>6</v>
      </c>
    </row>
    <row r="19" customFormat="false" ht="15" hidden="false" customHeight="false" outlineLevel="0" collapsed="false">
      <c r="A19" s="9" t="s">
        <v>102</v>
      </c>
      <c r="B19" s="9" t="s">
        <v>103</v>
      </c>
      <c r="C19" s="9" t="s">
        <v>65</v>
      </c>
      <c r="D19" s="10" t="n">
        <v>6</v>
      </c>
    </row>
    <row r="20" customFormat="false" ht="15" hidden="false" customHeight="false" outlineLevel="0" collapsed="false">
      <c r="A20" s="9" t="s">
        <v>104</v>
      </c>
      <c r="B20" s="9" t="s">
        <v>105</v>
      </c>
      <c r="C20" s="9" t="s">
        <v>106</v>
      </c>
      <c r="D20" s="10" t="n">
        <v>1</v>
      </c>
    </row>
  </sheetData>
  <autoFilter ref="A3:D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24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107</v>
      </c>
    </row>
    <row r="3" customFormat="false" ht="15" hidden="false" customHeight="false" outlineLevel="0" collapsed="false">
      <c r="A3" s="8" t="s">
        <v>108</v>
      </c>
      <c r="B3" s="8" t="s">
        <v>109</v>
      </c>
      <c r="C3" s="8" t="s">
        <v>68</v>
      </c>
      <c r="D3" s="8" t="s">
        <v>110</v>
      </c>
    </row>
    <row r="4" customFormat="false" ht="15" hidden="false" customHeight="false" outlineLevel="0" collapsed="false">
      <c r="A4" s="10" t="n">
        <v>1</v>
      </c>
      <c r="B4" s="9" t="s">
        <v>111</v>
      </c>
      <c r="C4" s="9" t="s">
        <v>10</v>
      </c>
      <c r="D4" s="9" t="s">
        <v>112</v>
      </c>
    </row>
    <row r="5" customFormat="false" ht="15" hidden="false" customHeight="false" outlineLevel="0" collapsed="false">
      <c r="A5" s="10" t="n">
        <v>2</v>
      </c>
      <c r="B5" s="9" t="s">
        <v>113</v>
      </c>
      <c r="C5" s="9" t="s">
        <v>44</v>
      </c>
      <c r="D5" s="9" t="s">
        <v>114</v>
      </c>
    </row>
    <row r="6" customFormat="false" ht="15" hidden="false" customHeight="false" outlineLevel="0" collapsed="false">
      <c r="A6" s="10" t="n">
        <v>3</v>
      </c>
      <c r="B6" s="9" t="s">
        <v>115</v>
      </c>
      <c r="C6" s="9" t="s">
        <v>76</v>
      </c>
      <c r="D6" s="9" t="s">
        <v>116</v>
      </c>
    </row>
    <row r="7" customFormat="false" ht="15" hidden="false" customHeight="false" outlineLevel="0" collapsed="false">
      <c r="A7" s="10" t="n">
        <v>4</v>
      </c>
      <c r="B7" s="9" t="s">
        <v>117</v>
      </c>
      <c r="C7" s="9" t="s">
        <v>21</v>
      </c>
      <c r="D7" s="9" t="s">
        <v>118</v>
      </c>
    </row>
    <row r="8" customFormat="false" ht="15" hidden="false" customHeight="false" outlineLevel="0" collapsed="false">
      <c r="A8" s="10" t="n">
        <v>5</v>
      </c>
      <c r="B8" s="9" t="s">
        <v>119</v>
      </c>
      <c r="C8" s="9" t="s">
        <v>35</v>
      </c>
      <c r="D8" s="9" t="s">
        <v>120</v>
      </c>
    </row>
    <row r="9" customFormat="false" ht="23.85" hidden="false" customHeight="false" outlineLevel="0" collapsed="false">
      <c r="A9" s="10" t="n">
        <v>6</v>
      </c>
      <c r="B9" s="9" t="s">
        <v>121</v>
      </c>
      <c r="C9" s="9" t="s">
        <v>56</v>
      </c>
      <c r="D9" s="9" t="s">
        <v>122</v>
      </c>
    </row>
    <row r="10" customFormat="false" ht="15" hidden="false" customHeight="false" outlineLevel="0" collapsed="false">
      <c r="A10" s="10" t="n">
        <v>7</v>
      </c>
      <c r="B10" s="9" t="s">
        <v>123</v>
      </c>
      <c r="C10" s="9" t="s">
        <v>65</v>
      </c>
      <c r="D10" s="9" t="s">
        <v>124</v>
      </c>
    </row>
  </sheetData>
  <autoFilter ref="A3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2026-10-15T06:51:43Z</dcterms:created>
  <dc:creator>openpyxl</dc:creator>
  <dc:description/>
  <dc:language>en-US</dc:language>
  <cp:lastModifiedBy/>
  <dcterms:modified xsi:type="dcterms:W3CDTF">2026-10-15T06:51:43Z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